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数据核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<sst xmlns="http://schemas.openxmlformats.org/spreadsheetml/2006/main" count="84" uniqueCount="49">
  <si>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光学系统结构参数采用教材第四章例子</t>
  </si>
  <si>
    <t>核对方法</t>
  </si>
  <si>
    <t>采用玻璃库CDGM-ZEMAX202111(202309)中的H-K9L和H-ZF2进行程序计算</t>
  </si>
  <si>
    <t xml:space="preserve">d、F、C光折射率可在Report的Prescription Data里看 Index/TCE Data；阿贝数在Materials Catalog 里查看Glass report </t>
  </si>
  <si>
    <t>Glass</t>
  </si>
  <si>
    <t>Nd（0.58756nm）</t>
  </si>
  <si>
    <t>Vd</t>
  </si>
  <si>
    <t>NC（0.65627）</t>
  </si>
  <si>
    <t>NF（0.48613）</t>
  </si>
  <si>
    <t>H-K9L</t>
  </si>
  <si>
    <t>H-ZF2</t>
  </si>
  <si>
    <t>外部参数</t>
  </si>
  <si>
    <t>设置：入瞳半径h=10mm或入瞳直径D=20mm</t>
  </si>
  <si>
    <t>物在无穷远时，视场角W=3度</t>
  </si>
  <si>
    <t>物在有限远(500mm)时，输入物高y=26mm（0.7视场：18.2mm），孔径角U</t>
  </si>
  <si>
    <t>波长</t>
  </si>
  <si>
    <t>视场</t>
  </si>
  <si>
    <t>孔径</t>
  </si>
  <si>
    <t>Zemax计算值（202111）</t>
  </si>
  <si>
    <t>软件计算值</t>
  </si>
  <si>
    <t>相对误差</t>
  </si>
  <si>
    <t>置信度</t>
  </si>
  <si>
    <t>焦距f’</t>
  </si>
  <si>
    <t>Pre data</t>
  </si>
  <si>
    <t>d</t>
  </si>
  <si>
    <t>2%: 100%;0.1%:97.4%</t>
  </si>
  <si>
    <t>理想像距l’（以透镜最后一面为参考）</t>
  </si>
  <si>
    <t>LDE</t>
  </si>
  <si>
    <t>Longitudinal Aberration</t>
  </si>
  <si>
    <t>C</t>
  </si>
  <si>
    <t>F</t>
  </si>
  <si>
    <t>实际像位置（以透镜最后一面为参考）</t>
  </si>
  <si>
    <r>
      <rPr>
        <sz val="10"/>
        <rFont val="等线"/>
        <charset val="134"/>
        <scheme val="minor"/>
      </rPr>
      <t>像方主面位置l</t>
    </r>
    <r>
      <rPr>
        <vertAlign val="subscript"/>
        <sz val="10"/>
        <rFont val="等线"/>
        <charset val="134"/>
        <scheme val="minor"/>
      </rPr>
      <t>H</t>
    </r>
    <r>
      <rPr>
        <sz val="10"/>
        <rFont val="等线"/>
        <charset val="134"/>
        <scheme val="minor"/>
      </rPr>
      <t>’（以透镜最后一面为参考）</t>
    </r>
  </si>
  <si>
    <r>
      <rPr>
        <sz val="10"/>
        <rFont val="等线"/>
        <charset val="134"/>
        <scheme val="minor"/>
      </rPr>
      <t>出瞳距l</t>
    </r>
    <r>
      <rPr>
        <vertAlign val="subscript"/>
        <sz val="10"/>
        <rFont val="等线"/>
        <charset val="134"/>
        <scheme val="minor"/>
      </rPr>
      <t>p</t>
    </r>
    <r>
      <rPr>
        <sz val="10"/>
        <rFont val="等线"/>
        <charset val="134"/>
        <scheme val="minor"/>
      </rPr>
      <t>’（以透镜最后一面为参考）</t>
    </r>
  </si>
  <si>
    <r>
      <rPr>
        <sz val="10"/>
        <rFont val="等线"/>
        <charset val="134"/>
        <scheme val="minor"/>
      </rPr>
      <t>理想像高y</t>
    </r>
    <r>
      <rPr>
        <vertAlign val="subscript"/>
        <sz val="10"/>
        <rFont val="等线"/>
        <charset val="134"/>
        <scheme val="minor"/>
      </rPr>
      <t>0</t>
    </r>
    <r>
      <rPr>
        <sz val="10"/>
        <rFont val="等线"/>
        <charset val="134"/>
        <scheme val="minor"/>
      </rPr>
      <t>’</t>
    </r>
  </si>
  <si>
    <t>Field Curv/Dist</t>
  </si>
  <si>
    <t>球差</t>
  </si>
  <si>
    <t>位置色差</t>
  </si>
  <si>
    <t>F-C</t>
  </si>
  <si>
    <r>
      <rPr>
        <sz val="10"/>
        <rFont val="等线"/>
        <charset val="134"/>
        <scheme val="minor"/>
      </rPr>
      <t>子午场曲x</t>
    </r>
    <r>
      <rPr>
        <vertAlign val="subscript"/>
        <sz val="10"/>
        <rFont val="等线"/>
        <charset val="134"/>
        <scheme val="minor"/>
      </rPr>
      <t>t</t>
    </r>
    <r>
      <rPr>
        <sz val="10"/>
        <rFont val="等线"/>
        <charset val="134"/>
        <scheme val="minor"/>
      </rPr>
      <t>’</t>
    </r>
  </si>
  <si>
    <r>
      <rPr>
        <sz val="10"/>
        <rFont val="等线"/>
        <charset val="134"/>
        <scheme val="minor"/>
      </rPr>
      <t>弧矢场曲x</t>
    </r>
    <r>
      <rPr>
        <vertAlign val="subscript"/>
        <sz val="10"/>
        <rFont val="等线"/>
        <charset val="134"/>
        <scheme val="minor"/>
      </rPr>
      <t>s</t>
    </r>
    <r>
      <rPr>
        <sz val="10"/>
        <rFont val="等线"/>
        <charset val="134"/>
        <scheme val="minor"/>
      </rPr>
      <t>’</t>
    </r>
  </si>
  <si>
    <r>
      <rPr>
        <sz val="10"/>
        <rFont val="等线"/>
        <charset val="134"/>
        <scheme val="minor"/>
      </rPr>
      <t>像散Δx</t>
    </r>
    <r>
      <rPr>
        <vertAlign val="subscript"/>
        <sz val="10"/>
        <rFont val="等线"/>
        <charset val="134"/>
        <scheme val="minor"/>
      </rPr>
      <t>ts</t>
    </r>
    <r>
      <rPr>
        <sz val="10"/>
        <rFont val="等线"/>
        <charset val="134"/>
        <scheme val="minor"/>
      </rPr>
      <t>’</t>
    </r>
  </si>
  <si>
    <t>实际像高</t>
  </si>
  <si>
    <t>相对畸变</t>
  </si>
  <si>
    <t>绝对畸变</t>
  </si>
  <si>
    <t>倍率色差</t>
  </si>
  <si>
    <t>子午慧差（不考虑符号，绝对值正确即可）</t>
  </si>
  <si>
    <t>Single Ray Trace</t>
  </si>
  <si>
    <t>(aiming off)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</si>
</sst>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"/>
    <numFmt numFmtId="177" formatCode="0.00000000"/>
    <numFmt numFmtId="178" formatCode="0.000000_);[Red]\(0.000000\)"/>
    <numFmt numFmtId="179" formatCode="0.00000000%"/>
    <numFmt numFmtId="180" formatCode="0.000000_ "/>
    <numFmt numFmtId="181" formatCode="0.00000000_ "/>
    <numFmt numFmtId="182" formatCode="0.000000E+00"/>
  </numFmts>
  <fonts count="25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微软雅黑"/>
      <charset val="134"/>
    </font>
    <font>
      <b/>
      <sz val="10"/>
      <name val="等线"/>
      <charset val="134"/>
      <scheme val="minor"/>
    </font>
    <font>
      <i/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2" borderId="0" xfId="0" applyFont="1" applyFill="1">
      <alignment vertical="center"/>
    </xf>
    <xf numFmtId="11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178" fontId="3" fillId="0" borderId="1" xfId="0" applyNumberFormat="1" applyFont="1" applyFill="1" applyBorder="1" applyAlignment="1">
      <alignment horizontal="justify" vertical="center" wrapText="1"/>
    </xf>
    <xf numFmtId="0" fontId="0" fillId="3" borderId="1" xfId="0" applyFill="1" applyBorder="1" applyAlignment="1">
      <alignment vertical="center"/>
    </xf>
    <xf numFmtId="179" fontId="1" fillId="0" borderId="1" xfId="0" applyNumberFormat="1" applyFont="1" applyBorder="1" applyAlignment="1">
      <alignment horizontal="justify" vertical="center" wrapText="1"/>
    </xf>
    <xf numFmtId="180" fontId="3" fillId="0" borderId="1" xfId="0" applyNumberFormat="1" applyFont="1" applyFill="1" applyBorder="1" applyAlignment="1">
      <alignment horizontal="justify" vertical="center" wrapText="1"/>
    </xf>
    <xf numFmtId="180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0" fillId="3" borderId="1" xfId="0" applyNumberFormat="1" applyFill="1" applyBorder="1" applyAlignment="1">
      <alignment vertical="center"/>
    </xf>
    <xf numFmtId="179" fontId="1" fillId="3" borderId="1" xfId="0" applyNumberFormat="1" applyFont="1" applyFill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3" borderId="1" xfId="0" applyFont="1" applyFill="1" applyBorder="1">
      <alignment vertical="center"/>
    </xf>
    <xf numFmtId="0" fontId="1" fillId="0" borderId="7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180" fontId="1" fillId="0" borderId="1" xfId="0" applyNumberFormat="1" applyFont="1" applyBorder="1" applyAlignment="1">
      <alignment horizontal="justify" vertical="center" wrapText="1"/>
    </xf>
    <xf numFmtId="180" fontId="1" fillId="0" borderId="1" xfId="0" applyNumberFormat="1" applyFont="1" applyFill="1" applyBorder="1" applyAlignment="1">
      <alignment horizontal="justify" vertical="center" wrapText="1"/>
    </xf>
    <xf numFmtId="179" fontId="1" fillId="4" borderId="1" xfId="0" applyNumberFormat="1" applyFont="1" applyFill="1" applyBorder="1" applyAlignment="1">
      <alignment horizontal="justify" vertical="center" wrapText="1"/>
    </xf>
    <xf numFmtId="181" fontId="1" fillId="0" borderId="1" xfId="0" applyNumberFormat="1" applyFont="1" applyBorder="1" applyAlignment="1">
      <alignment horizontal="justify" vertical="center" wrapText="1"/>
    </xf>
    <xf numFmtId="181" fontId="3" fillId="0" borderId="1" xfId="0" applyNumberFormat="1" applyFont="1" applyFill="1" applyBorder="1" applyAlignment="1">
      <alignment horizontal="justify" vertical="center" wrapText="1"/>
    </xf>
    <xf numFmtId="181" fontId="1" fillId="0" borderId="1" xfId="0" applyNumberFormat="1" applyFont="1" applyFill="1" applyBorder="1" applyAlignment="1">
      <alignment horizontal="justify" vertical="center" wrapText="1"/>
    </xf>
    <xf numFmtId="179" fontId="3" fillId="0" borderId="1" xfId="0" applyNumberFormat="1" applyFont="1" applyBorder="1" applyAlignment="1">
      <alignment horizontal="justify" vertical="center" wrapText="1"/>
    </xf>
    <xf numFmtId="10" fontId="0" fillId="3" borderId="1" xfId="0" applyNumberFormat="1" applyFill="1" applyBorder="1" applyAlignment="1">
      <alignment vertical="center"/>
    </xf>
    <xf numFmtId="182" fontId="1" fillId="0" borderId="1" xfId="0" applyNumberFormat="1" applyFont="1" applyBorder="1" applyAlignment="1">
      <alignment horizontal="justify" vertical="center" wrapText="1"/>
    </xf>
    <xf numFmtId="182" fontId="1" fillId="0" borderId="1" xfId="0" applyNumberFormat="1" applyFont="1" applyFill="1" applyBorder="1" applyAlignment="1">
      <alignment horizontal="justify" vertical="center" wrapText="1"/>
    </xf>
    <xf numFmtId="11" fontId="1" fillId="3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zoomScale="91" zoomScaleNormal="91" topLeftCell="A5" workbookViewId="0">
      <selection activeCell="J19" sqref="J19"/>
    </sheetView>
  </sheetViews>
  <sheetFormatPr defaultColWidth="9.10833333333333" defaultRowHeight="13"/>
  <cols>
    <col min="1" max="1" width="15.775" style="3" customWidth="1"/>
    <col min="2" max="2" width="25.6666666666667" style="3" customWidth="1"/>
    <col min="3" max="3" width="5.44166666666667" style="3" customWidth="1"/>
    <col min="4" max="4" width="6.33333333333333" style="3" customWidth="1"/>
    <col min="5" max="5" width="8.89166666666667" style="3" customWidth="1"/>
    <col min="6" max="6" width="18.3333333333333" style="3" customWidth="1"/>
    <col min="7" max="7" width="16.6666666666667" style="4" customWidth="1"/>
    <col min="8" max="8" width="18.8916666666667" style="3" customWidth="1"/>
    <col min="9" max="9" width="15.225" style="3" customWidth="1"/>
    <col min="10" max="10" width="21.3666666666667" style="4" customWidth="1"/>
    <col min="11" max="11" width="18.4416666666667" style="3" customWidth="1"/>
    <col min="12" max="12" width="15.8416666666667" style="3" customWidth="1"/>
    <col min="13" max="13" width="9.10833333333333" style="3"/>
    <col min="14" max="14" width="12.6666666666667" style="3"/>
    <col min="15" max="15" width="11.6666666666667" style="3" customWidth="1"/>
    <col min="16" max="16384" width="9.10833333333333" style="3"/>
  </cols>
  <sheetData>
    <row r="1" ht="43.5" customHeight="1" spans="1:12">
      <c r="A1" s="5"/>
      <c r="B1" s="5"/>
      <c r="C1" s="6" t="s">
        <v>0</v>
      </c>
      <c r="D1" s="7"/>
      <c r="E1" s="7"/>
      <c r="F1" s="7"/>
      <c r="G1" s="8"/>
      <c r="H1" s="7"/>
      <c r="I1" s="7"/>
      <c r="J1" s="8"/>
      <c r="K1" s="9"/>
    </row>
    <row r="2" ht="35.4" customHeight="1" spans="1:12">
      <c r="A2" s="5"/>
      <c r="B2" s="10" t="s">
        <v>1</v>
      </c>
      <c r="C2" s="11" t="s">
        <v>2</v>
      </c>
      <c r="D2" s="11"/>
      <c r="E2" s="11"/>
      <c r="F2" s="11"/>
      <c r="G2" s="12"/>
      <c r="H2" s="11"/>
      <c r="I2" s="11"/>
      <c r="J2" s="12"/>
      <c r="K2" s="11"/>
    </row>
    <row r="3" ht="30.6" customHeight="1" spans="1:12">
      <c r="A3" s="5"/>
      <c r="B3" s="13" t="s">
        <v>3</v>
      </c>
      <c r="C3" s="6" t="s">
        <v>4</v>
      </c>
      <c r="D3" s="7"/>
      <c r="E3" s="9"/>
      <c r="F3" s="14" t="s">
        <v>5</v>
      </c>
      <c r="G3" s="12" t="s">
        <v>6</v>
      </c>
      <c r="H3" s="14" t="s">
        <v>7</v>
      </c>
      <c r="I3" s="14" t="s">
        <v>8</v>
      </c>
      <c r="J3" s="12"/>
      <c r="K3" s="14"/>
    </row>
    <row r="4" s="1" customFormat="1" ht="24.6" customHeight="1" spans="1:12">
      <c r="A4" s="15"/>
      <c r="B4" s="16"/>
      <c r="C4" s="17" t="s">
        <v>9</v>
      </c>
      <c r="D4" s="18"/>
      <c r="E4" s="19"/>
      <c r="F4" s="20">
        <v>1.5167999978</v>
      </c>
      <c r="G4" s="21">
        <v>64.19873179</v>
      </c>
      <c r="H4" s="20">
        <v>1.5143264578</v>
      </c>
      <c r="I4" s="20">
        <v>1.522376461</v>
      </c>
      <c r="J4" s="20"/>
      <c r="K4" s="20"/>
    </row>
    <row r="5" s="1" customFormat="1" ht="26.4" customHeight="1" spans="1:12">
      <c r="A5" s="15"/>
      <c r="B5" s="22"/>
      <c r="C5" s="23" t="s">
        <v>10</v>
      </c>
      <c r="D5" s="24"/>
      <c r="E5" s="25"/>
      <c r="F5" s="20">
        <v>1.672699817</v>
      </c>
      <c r="G5" s="21">
        <v>32.17118592</v>
      </c>
      <c r="H5" s="20">
        <v>1.6666173079</v>
      </c>
      <c r="I5" s="20">
        <v>1.6875273179</v>
      </c>
      <c r="J5" s="20"/>
      <c r="K5" s="20"/>
    </row>
    <row r="6" ht="43.5" customHeight="1" spans="1:12">
      <c r="A6" s="26" t="s">
        <v>11</v>
      </c>
      <c r="B6" s="27"/>
      <c r="C6" s="14" t="s">
        <v>12</v>
      </c>
      <c r="D6" s="14"/>
      <c r="E6" s="14"/>
      <c r="F6" s="28" t="s">
        <v>13</v>
      </c>
      <c r="G6" s="29"/>
      <c r="H6" s="30"/>
      <c r="I6" s="28" t="s">
        <v>14</v>
      </c>
      <c r="J6" s="29"/>
      <c r="K6" s="30"/>
      <c r="L6" s="5"/>
    </row>
    <row r="7" ht="29" spans="1:12">
      <c r="A7" s="26"/>
      <c r="B7" s="10"/>
      <c r="C7" s="31" t="s">
        <v>15</v>
      </c>
      <c r="D7" s="31" t="s">
        <v>16</v>
      </c>
      <c r="E7" s="31" t="s">
        <v>17</v>
      </c>
      <c r="F7" s="31" t="s">
        <v>18</v>
      </c>
      <c r="G7" s="32" t="s">
        <v>19</v>
      </c>
      <c r="H7" s="31" t="s">
        <v>20</v>
      </c>
      <c r="I7" s="31" t="s">
        <v>18</v>
      </c>
      <c r="J7" s="32" t="s">
        <v>19</v>
      </c>
      <c r="K7" s="31" t="s">
        <v>20</v>
      </c>
      <c r="L7" s="31" t="s">
        <v>21</v>
      </c>
    </row>
    <row r="8" ht="14" spans="1:12">
      <c r="A8" s="33" t="s">
        <v>22</v>
      </c>
      <c r="B8" s="33" t="s">
        <v>23</v>
      </c>
      <c r="C8" s="33" t="s">
        <v>24</v>
      </c>
      <c r="D8" s="33"/>
      <c r="E8" s="33"/>
      <c r="F8" s="34">
        <v>99.7182908269421</v>
      </c>
      <c r="G8" s="35">
        <v>99.71831618</v>
      </c>
      <c r="H8" s="36">
        <f>(ABS(F8-G8))/F8</f>
        <v>2.54246815674922e-7</v>
      </c>
      <c r="I8" s="37">
        <f>F8</f>
        <v>99.7182908269421</v>
      </c>
      <c r="J8" s="35">
        <v>99.71831618</v>
      </c>
      <c r="K8" s="36">
        <f>(ABS(I8-J8))/I8</f>
        <v>2.54246815674922e-7</v>
      </c>
      <c r="L8" s="14" t="s">
        <v>25</v>
      </c>
    </row>
    <row r="9" ht="13.2" customHeight="1" spans="1:12">
      <c r="A9" s="13" t="s">
        <v>26</v>
      </c>
      <c r="B9" s="33" t="s">
        <v>27</v>
      </c>
      <c r="C9" s="33" t="s">
        <v>24</v>
      </c>
      <c r="D9" s="33">
        <v>0</v>
      </c>
      <c r="E9" s="33">
        <v>0</v>
      </c>
      <c r="F9" s="38">
        <v>96.8321729472387</v>
      </c>
      <c r="G9" s="35">
        <v>96.83219823</v>
      </c>
      <c r="H9" s="36">
        <f t="shared" ref="H9:H45" si="0">(ABS(F9-G9))/F9</f>
        <v>2.61098770482262e-7</v>
      </c>
      <c r="I9" s="39">
        <v>121.593774</v>
      </c>
      <c r="J9" s="35">
        <v>121.59381386</v>
      </c>
      <c r="K9" s="36">
        <f t="shared" ref="K9:K45" si="1">(ABS(I9-J9))/I9</f>
        <v>3.27812836873645e-7</v>
      </c>
      <c r="L9" s="14"/>
    </row>
    <row r="10" ht="14" spans="1:12">
      <c r="A10" s="16"/>
      <c r="B10" s="33" t="s">
        <v>28</v>
      </c>
      <c r="C10" s="33" t="s">
        <v>29</v>
      </c>
      <c r="D10" s="33">
        <v>0</v>
      </c>
      <c r="E10" s="33">
        <v>0</v>
      </c>
      <c r="F10" s="33">
        <f>F9+0.06131-0.00000241</f>
        <v>96.8934805372387</v>
      </c>
      <c r="G10" s="35">
        <v>96.85162812</v>
      </c>
      <c r="H10" s="36">
        <f t="shared" si="0"/>
        <v>0.000431942551827478</v>
      </c>
      <c r="I10" s="40">
        <f>I9+0.09728-0.000009427</f>
        <v>121.691044573</v>
      </c>
      <c r="J10" s="35">
        <v>121.62062725</v>
      </c>
      <c r="K10" s="36">
        <f t="shared" si="1"/>
        <v>0.000578656574500509</v>
      </c>
      <c r="L10" s="14"/>
    </row>
    <row r="11" ht="31.2" customHeight="1" spans="1:12">
      <c r="A11" s="22"/>
      <c r="B11" s="33" t="s">
        <v>28</v>
      </c>
      <c r="C11" s="33" t="s">
        <v>30</v>
      </c>
      <c r="D11" s="33">
        <v>0</v>
      </c>
      <c r="E11" s="33">
        <v>0</v>
      </c>
      <c r="F11" s="33">
        <f>F9+0.0204-0.00000241</f>
        <v>96.8525705372387</v>
      </c>
      <c r="G11" s="35">
        <v>96.89254166</v>
      </c>
      <c r="H11" s="36">
        <f t="shared" si="0"/>
        <v>0.000412700690746589</v>
      </c>
      <c r="I11" s="40">
        <f>I9+0.02833-0.000009427</f>
        <v>121.622094573</v>
      </c>
      <c r="J11" s="35">
        <v>121.68958457</v>
      </c>
      <c r="K11" s="36">
        <f t="shared" si="1"/>
        <v>0.000554915595204511</v>
      </c>
      <c r="L11" s="14"/>
    </row>
    <row r="12" ht="13.2" customHeight="1" spans="1:12">
      <c r="A12" s="13" t="s">
        <v>31</v>
      </c>
      <c r="B12" s="33" t="s">
        <v>28</v>
      </c>
      <c r="C12" s="13" t="s">
        <v>24</v>
      </c>
      <c r="D12" s="33">
        <v>0</v>
      </c>
      <c r="E12" s="33">
        <v>1</v>
      </c>
      <c r="F12" s="33">
        <f>F9-0.0126-0.00000241</f>
        <v>96.8195705372387</v>
      </c>
      <c r="G12" s="35">
        <v>96.80407342</v>
      </c>
      <c r="H12" s="36">
        <f t="shared" si="0"/>
        <v>0.000160061825855226</v>
      </c>
      <c r="I12" s="40">
        <f>I9-0.2766-0.000009427</f>
        <v>121.317164573</v>
      </c>
      <c r="J12" s="41">
        <v>121.317204924832</v>
      </c>
      <c r="K12" s="36">
        <f t="shared" si="1"/>
        <v>3.32614367805994e-7</v>
      </c>
      <c r="L12" s="14"/>
    </row>
    <row r="13" ht="14" spans="1:12">
      <c r="A13" s="16"/>
      <c r="B13" s="33"/>
      <c r="C13" s="22"/>
      <c r="D13" s="33">
        <v>0</v>
      </c>
      <c r="E13" s="33">
        <v>0.7</v>
      </c>
      <c r="F13" s="33">
        <f>F9-0.02813-0.00000241</f>
        <v>96.8040405372387</v>
      </c>
      <c r="G13" s="35">
        <v>96.81959699</v>
      </c>
      <c r="H13" s="36">
        <f t="shared" si="0"/>
        <v>0.000160700448813434</v>
      </c>
      <c r="I13" s="40">
        <f>I9-0.1618-0.000009427</f>
        <v>121.431964573</v>
      </c>
      <c r="J13" s="41">
        <v>121.431999391046</v>
      </c>
      <c r="K13" s="36">
        <f t="shared" si="1"/>
        <v>2.8672883722277e-7</v>
      </c>
      <c r="L13" s="14"/>
    </row>
    <row r="14" ht="14" spans="1:12">
      <c r="A14" s="16"/>
      <c r="B14" s="33"/>
      <c r="C14" s="13" t="s">
        <v>29</v>
      </c>
      <c r="D14" s="33">
        <v>0</v>
      </c>
      <c r="E14" s="33">
        <v>1</v>
      </c>
      <c r="F14" s="33">
        <f>F9+0.01746-0.00000241</f>
        <v>96.8496305372387</v>
      </c>
      <c r="G14" s="35">
        <v>96.86268449</v>
      </c>
      <c r="H14" s="36">
        <f t="shared" si="0"/>
        <v>0.000134785777590465</v>
      </c>
      <c r="I14" s="40">
        <f>I9-0.2218-0.000009427</f>
        <v>121.371964573</v>
      </c>
      <c r="J14" s="41">
        <v>121.370490632694</v>
      </c>
      <c r="K14" s="42">
        <f t="shared" si="1"/>
        <v>1.21439931468903e-5</v>
      </c>
      <c r="L14" s="14"/>
    </row>
    <row r="15" ht="14" spans="1:12">
      <c r="A15" s="16"/>
      <c r="B15" s="33"/>
      <c r="C15" s="22"/>
      <c r="D15" s="33">
        <v>0</v>
      </c>
      <c r="E15" s="33">
        <v>0.7</v>
      </c>
      <c r="F15" s="33">
        <f>F9+0.01855-0.00000241</f>
        <v>96.8507205372387</v>
      </c>
      <c r="G15" s="35">
        <v>96.92268361</v>
      </c>
      <c r="H15" s="36">
        <f t="shared" si="0"/>
        <v>0.00074303084543018</v>
      </c>
      <c r="I15" s="40">
        <f>I9-0.08451-0.000009427</f>
        <v>121.509254573</v>
      </c>
      <c r="J15" s="41">
        <v>121.507767162687</v>
      </c>
      <c r="K15" s="36">
        <f t="shared" si="1"/>
        <v>1.22411277908913e-5</v>
      </c>
      <c r="L15" s="14"/>
    </row>
    <row r="16" ht="14" spans="1:12">
      <c r="A16" s="16"/>
      <c r="B16" s="33"/>
      <c r="C16" s="13" t="s">
        <v>30</v>
      </c>
      <c r="D16" s="33">
        <v>0</v>
      </c>
      <c r="E16" s="33">
        <v>1</v>
      </c>
      <c r="F16" s="33">
        <f>F9+0.09149-0.00000241</f>
        <v>96.9236605372387</v>
      </c>
      <c r="G16" s="35">
        <v>96.8497569</v>
      </c>
      <c r="H16" s="36">
        <f t="shared" si="0"/>
        <v>0.000762493253237235</v>
      </c>
      <c r="I16" s="40">
        <f>I9-0.1364-0.000009427</f>
        <v>121.457364573</v>
      </c>
      <c r="J16" s="41">
        <v>121.455854298719</v>
      </c>
      <c r="K16" s="36">
        <f t="shared" si="1"/>
        <v>1.24346044088187e-5</v>
      </c>
      <c r="L16" s="14"/>
    </row>
    <row r="17" ht="14" spans="1:15">
      <c r="A17" s="22"/>
      <c r="B17" s="33"/>
      <c r="C17" s="22"/>
      <c r="D17" s="33">
        <v>0</v>
      </c>
      <c r="E17" s="33">
        <v>0.7</v>
      </c>
      <c r="F17" s="33">
        <f>F9+0.03147-0.00000241</f>
        <v>96.8636405372387</v>
      </c>
      <c r="G17" s="35">
        <v>96.84865415</v>
      </c>
      <c r="H17" s="36">
        <f t="shared" si="0"/>
        <v>0.000154716332728911</v>
      </c>
      <c r="I17" s="40">
        <f>I9-0.08089-0.000009427</f>
        <v>121.512874573</v>
      </c>
      <c r="J17" s="41">
        <v>121.511394071261</v>
      </c>
      <c r="K17" s="42">
        <f t="shared" si="1"/>
        <v>1.21839084476669e-5</v>
      </c>
      <c r="L17" s="14"/>
    </row>
    <row r="18" ht="46.95" customHeight="1" spans="1:15">
      <c r="A18" s="33" t="s">
        <v>32</v>
      </c>
      <c r="B18" s="33" t="s">
        <v>23</v>
      </c>
      <c r="C18" s="33" t="s">
        <v>24</v>
      </c>
      <c r="D18" s="33"/>
      <c r="E18" s="33"/>
      <c r="F18" s="38">
        <f>F8-F9</f>
        <v>2.88611787970339</v>
      </c>
      <c r="G18" s="35">
        <v>2.88611794</v>
      </c>
      <c r="H18" s="36">
        <f t="shared" si="0"/>
        <v>2.08919428936949e-8</v>
      </c>
      <c r="I18" s="37">
        <f>F18</f>
        <v>2.88611787970339</v>
      </c>
      <c r="J18" s="35">
        <v>2.88611794</v>
      </c>
      <c r="K18" s="36">
        <f t="shared" si="1"/>
        <v>2.08919428936949e-8</v>
      </c>
      <c r="L18" s="14"/>
    </row>
    <row r="19" ht="41.4" customHeight="1" spans="1:15">
      <c r="A19" s="33" t="s">
        <v>33</v>
      </c>
      <c r="B19" s="33" t="s">
        <v>23</v>
      </c>
      <c r="C19" s="33" t="s">
        <v>24</v>
      </c>
      <c r="D19" s="33"/>
      <c r="E19" s="33"/>
      <c r="F19" s="38">
        <f>F9-101.0326</f>
        <v>-4.2004270527613</v>
      </c>
      <c r="G19" s="35">
        <v>-4.20044064</v>
      </c>
      <c r="H19" s="36">
        <f t="shared" si="0"/>
        <v>-3.23472792878103e-6</v>
      </c>
      <c r="I19" s="37">
        <f>F19</f>
        <v>-4.2004270527613</v>
      </c>
      <c r="J19" s="35">
        <v>-4.20044064</v>
      </c>
      <c r="K19" s="36">
        <f t="shared" si="1"/>
        <v>-3.23472792878103e-6</v>
      </c>
      <c r="L19" s="14"/>
    </row>
    <row r="20" ht="21.75" customHeight="1" spans="1:15">
      <c r="A20" s="43" t="s">
        <v>34</v>
      </c>
      <c r="B20" s="33" t="s">
        <v>35</v>
      </c>
      <c r="C20" s="33" t="s">
        <v>24</v>
      </c>
      <c r="D20" s="33">
        <v>1</v>
      </c>
      <c r="E20" s="33">
        <v>0</v>
      </c>
      <c r="F20" s="44">
        <v>5.22601418</v>
      </c>
      <c r="G20" s="45">
        <v>5.2260155</v>
      </c>
      <c r="H20" s="36">
        <f>ABS(F20-G20)/F20</f>
        <v>2.52582552305923e-7</v>
      </c>
      <c r="I20" s="39">
        <v>6.4562041</v>
      </c>
      <c r="J20" s="41">
        <v>6.45620615222492</v>
      </c>
      <c r="K20" s="36">
        <f>ABS(I20-J20)/I20</f>
        <v>3.17868655945935e-7</v>
      </c>
      <c r="L20" s="14"/>
    </row>
    <row r="21" ht="21.75" customHeight="1" spans="1:15">
      <c r="A21" s="46"/>
      <c r="B21" s="33"/>
      <c r="C21" s="33" t="s">
        <v>24</v>
      </c>
      <c r="D21" s="33">
        <v>0.7</v>
      </c>
      <c r="E21" s="33">
        <v>0</v>
      </c>
      <c r="F21" s="33">
        <v>3.65650373</v>
      </c>
      <c r="G21" s="35">
        <v>3.65650466</v>
      </c>
      <c r="H21" s="36">
        <f>ABS(F21-G21)/F21</f>
        <v>2.54341324060706e-7</v>
      </c>
      <c r="I21" s="40">
        <v>4.51934287</v>
      </c>
      <c r="J21" s="41">
        <v>4.51934430655744</v>
      </c>
      <c r="K21" s="36">
        <f t="shared" ref="K21:K26" si="2">ABS(I21-J21)/I21</f>
        <v>3.17868655120516e-7</v>
      </c>
      <c r="L21" s="14"/>
    </row>
    <row r="22" ht="14" spans="1:15">
      <c r="A22" s="33" t="s">
        <v>36</v>
      </c>
      <c r="B22" s="47" t="s">
        <v>28</v>
      </c>
      <c r="C22" s="33" t="s">
        <v>24</v>
      </c>
      <c r="D22" s="33">
        <v>0</v>
      </c>
      <c r="E22" s="33">
        <v>0.7</v>
      </c>
      <c r="F22" s="48">
        <f>F13-F9</f>
        <v>-0.0281324099999978</v>
      </c>
      <c r="G22" s="35">
        <v>-0.02812481</v>
      </c>
      <c r="H22" s="36">
        <f>ABS(F22-G22)/F22</f>
        <v>-0.000270151046348355</v>
      </c>
      <c r="I22" s="49">
        <f>I13-I9</f>
        <v>-0.161809426999994</v>
      </c>
      <c r="J22" s="35">
        <v>-0.16181447</v>
      </c>
      <c r="K22" s="36">
        <f t="shared" si="2"/>
        <v>-3.11662929625093e-5</v>
      </c>
      <c r="L22" s="14"/>
      <c r="O22" s="36"/>
    </row>
    <row r="23" ht="14" spans="1:15">
      <c r="A23" s="33"/>
      <c r="B23" s="33"/>
      <c r="C23" s="33"/>
      <c r="D23" s="33">
        <v>0</v>
      </c>
      <c r="E23" s="33">
        <v>1</v>
      </c>
      <c r="F23" s="48">
        <f>F12-F9</f>
        <v>-0.0126024099999995</v>
      </c>
      <c r="G23" s="35">
        <v>-0.01260125</v>
      </c>
      <c r="H23" s="36">
        <f>ABS(F23-G23)/F23</f>
        <v>-9.20458864217634e-5</v>
      </c>
      <c r="I23" s="48">
        <f>I12-I9</f>
        <v>-0.276609426999997</v>
      </c>
      <c r="J23" s="35">
        <v>-0.27660894</v>
      </c>
      <c r="K23" s="36">
        <f t="shared" si="2"/>
        <v>-1.76060520524439e-6</v>
      </c>
      <c r="L23" s="14"/>
    </row>
    <row r="24" ht="14" spans="1:15">
      <c r="A24" s="33" t="s">
        <v>37</v>
      </c>
      <c r="B24" s="47" t="s">
        <v>28</v>
      </c>
      <c r="C24" s="33" t="s">
        <v>38</v>
      </c>
      <c r="D24" s="33">
        <v>0</v>
      </c>
      <c r="E24" s="33">
        <v>0.7</v>
      </c>
      <c r="F24" s="48">
        <f>F17-F15</f>
        <v>0.012919999999994</v>
      </c>
      <c r="G24" s="35">
        <v>0.01292759</v>
      </c>
      <c r="H24" s="36">
        <f>ABS(F24-G24)/F24</f>
        <v>0.000587461300774166</v>
      </c>
      <c r="I24" s="48">
        <f>I17-I15</f>
        <v>0.00361999999999796</v>
      </c>
      <c r="J24" s="35">
        <v>0.00362691</v>
      </c>
      <c r="K24" s="50">
        <f t="shared" si="2"/>
        <v>0.00190883977957019</v>
      </c>
      <c r="L24" s="14"/>
    </row>
    <row r="25" ht="14" spans="1:15">
      <c r="A25" s="33"/>
      <c r="B25" s="33"/>
      <c r="C25" s="33"/>
      <c r="D25" s="33">
        <v>0</v>
      </c>
      <c r="E25" s="33">
        <v>1</v>
      </c>
      <c r="F25" s="48">
        <f>F16-F14</f>
        <v>0.0740299999999934</v>
      </c>
      <c r="G25" s="35">
        <v>0.07402946</v>
      </c>
      <c r="H25" s="36">
        <f>ABS(F25-G25)/F25</f>
        <v>7.29434004324493e-6</v>
      </c>
      <c r="I25" s="48">
        <f>I16-I14</f>
        <v>0.085400000000007</v>
      </c>
      <c r="J25" s="35">
        <v>0.08536367</v>
      </c>
      <c r="K25" s="36">
        <f t="shared" si="2"/>
        <v>0.000425409836147453</v>
      </c>
      <c r="L25" s="14"/>
    </row>
    <row r="26" ht="14" spans="1:15">
      <c r="A26" s="33"/>
      <c r="B26" s="33"/>
      <c r="C26" s="33"/>
      <c r="D26" s="33">
        <v>0</v>
      </c>
      <c r="E26" s="33">
        <v>0</v>
      </c>
      <c r="F26" s="48">
        <f>F11-F10</f>
        <v>-0.0409099999999967</v>
      </c>
      <c r="G26" s="35">
        <v>-0.04091355</v>
      </c>
      <c r="H26" s="36">
        <f>ABS(F26-G26)/F26</f>
        <v>-8.67758495062625e-5</v>
      </c>
      <c r="I26" s="49">
        <f>I11-I10</f>
        <v>-0.068950000000001</v>
      </c>
      <c r="J26" s="35">
        <v>-0.06895731</v>
      </c>
      <c r="K26" s="36">
        <f t="shared" si="2"/>
        <v>-0.00010601885422766</v>
      </c>
      <c r="L26" s="14"/>
    </row>
    <row r="27" ht="21" customHeight="1" spans="1:15">
      <c r="A27" s="33" t="s">
        <v>39</v>
      </c>
      <c r="B27" s="33" t="s">
        <v>35</v>
      </c>
      <c r="C27" s="33" t="s">
        <v>24</v>
      </c>
      <c r="D27" s="33">
        <v>1</v>
      </c>
      <c r="E27" s="33">
        <v>0</v>
      </c>
      <c r="F27" s="44">
        <v>-0.48325753</v>
      </c>
      <c r="G27" s="35">
        <v>-0.48333089</v>
      </c>
      <c r="H27" s="36">
        <f t="shared" si="0"/>
        <v>-0.000151803118308415</v>
      </c>
      <c r="I27" s="39">
        <v>-0.74808913</v>
      </c>
      <c r="J27" s="35">
        <v>-0.748592989010646</v>
      </c>
      <c r="K27" s="42">
        <f t="shared" si="1"/>
        <v>-0.000673528046913313</v>
      </c>
      <c r="L27" s="14"/>
    </row>
    <row r="28" ht="15.5" spans="1:15">
      <c r="A28" s="33" t="s">
        <v>40</v>
      </c>
      <c r="B28" s="33" t="s">
        <v>35</v>
      </c>
      <c r="C28" s="33" t="s">
        <v>24</v>
      </c>
      <c r="D28" s="33">
        <v>1</v>
      </c>
      <c r="E28" s="33">
        <v>0</v>
      </c>
      <c r="F28" s="44">
        <v>-0.22739103</v>
      </c>
      <c r="G28" s="35">
        <v>-0.22739101</v>
      </c>
      <c r="H28" s="36">
        <f t="shared" si="0"/>
        <v>-8.79542169692133e-8</v>
      </c>
      <c r="I28" s="39">
        <v>-0.35080441</v>
      </c>
      <c r="J28" s="35">
        <v>-0.350804193104309</v>
      </c>
      <c r="K28" s="42">
        <f t="shared" si="1"/>
        <v>-6.18280970352344e-7</v>
      </c>
      <c r="L28" s="14"/>
    </row>
    <row r="29" ht="15.5" spans="1:15">
      <c r="A29" s="33" t="s">
        <v>41</v>
      </c>
      <c r="B29" s="47" t="s">
        <v>35</v>
      </c>
      <c r="C29" s="33" t="s">
        <v>24</v>
      </c>
      <c r="D29" s="33">
        <v>1</v>
      </c>
      <c r="E29" s="33">
        <v>0</v>
      </c>
      <c r="F29" s="51">
        <f>F27-F28</f>
        <v>-0.2558665</v>
      </c>
      <c r="G29" s="35">
        <v>-0.25593989</v>
      </c>
      <c r="H29" s="36">
        <f t="shared" si="0"/>
        <v>-0.000286829264479744</v>
      </c>
      <c r="I29" s="40">
        <f>I27-I28</f>
        <v>-0.39728472</v>
      </c>
      <c r="J29" s="35">
        <v>-0.397788795906336</v>
      </c>
      <c r="K29" s="50">
        <f t="shared" si="1"/>
        <v>-0.00126880265200232</v>
      </c>
      <c r="L29" s="14"/>
    </row>
    <row r="30" ht="14" spans="1:15">
      <c r="A30" s="33" t="s">
        <v>42</v>
      </c>
      <c r="B30" s="33" t="s">
        <v>35</v>
      </c>
      <c r="C30" s="33" t="s">
        <v>30</v>
      </c>
      <c r="D30" s="33">
        <v>0.7</v>
      </c>
      <c r="E30" s="33">
        <v>0</v>
      </c>
      <c r="F30" s="44">
        <v>3.65607322</v>
      </c>
      <c r="G30" s="35">
        <v>3.65635096</v>
      </c>
      <c r="H30" s="36">
        <f t="shared" si="0"/>
        <v>7.59667499219357e-5</v>
      </c>
      <c r="I30" s="52">
        <v>4.51902988</v>
      </c>
      <c r="J30" s="35">
        <v>4.51917027</v>
      </c>
      <c r="K30" s="36">
        <f t="shared" si="1"/>
        <v>3.10664022430237e-5</v>
      </c>
      <c r="L30" s="14"/>
    </row>
    <row r="31" ht="14" spans="1:15">
      <c r="A31" s="33"/>
      <c r="B31" s="33"/>
      <c r="C31" s="33"/>
      <c r="D31" s="33">
        <v>1</v>
      </c>
      <c r="E31" s="33">
        <v>0</v>
      </c>
      <c r="F31" s="33">
        <v>5.22517126</v>
      </c>
      <c r="G31" s="35">
        <v>5.22556681</v>
      </c>
      <c r="H31" s="36">
        <f t="shared" si="0"/>
        <v>7.57008680324777e-5</v>
      </c>
      <c r="I31" s="53">
        <v>6.4555</v>
      </c>
      <c r="J31" s="35">
        <v>6.45569878</v>
      </c>
      <c r="K31" s="36">
        <f t="shared" si="1"/>
        <v>3.07923476105403e-5</v>
      </c>
      <c r="L31" s="14"/>
    </row>
    <row r="32" ht="14" spans="1:15">
      <c r="A32" s="33"/>
      <c r="B32" s="33"/>
      <c r="C32" s="33" t="s">
        <v>24</v>
      </c>
      <c r="D32" s="33">
        <v>0.7</v>
      </c>
      <c r="E32" s="33">
        <v>0</v>
      </c>
      <c r="F32" s="44">
        <v>3.65635003</v>
      </c>
      <c r="G32" s="35">
        <v>3.6560734</v>
      </c>
      <c r="H32" s="36">
        <f t="shared" si="0"/>
        <v>7.56574172960434e-5</v>
      </c>
      <c r="I32" s="52">
        <v>4.51916883</v>
      </c>
      <c r="J32" s="35">
        <v>4.51903047</v>
      </c>
      <c r="K32" s="36">
        <f t="shared" si="1"/>
        <v>3.06162494044787e-5</v>
      </c>
      <c r="L32" s="14"/>
    </row>
    <row r="33" ht="14" spans="1:12">
      <c r="A33" s="33"/>
      <c r="B33" s="33"/>
      <c r="C33" s="33"/>
      <c r="D33" s="33">
        <v>1</v>
      </c>
      <c r="E33" s="33">
        <v>0</v>
      </c>
      <c r="F33" s="33">
        <v>5.22556548</v>
      </c>
      <c r="G33" s="35">
        <v>5.22517153</v>
      </c>
      <c r="H33" s="36">
        <f t="shared" si="0"/>
        <v>7.53889701522426e-5</v>
      </c>
      <c r="I33" s="53">
        <v>6.45569673</v>
      </c>
      <c r="J33" s="35">
        <v>6.45550084</v>
      </c>
      <c r="K33" s="36">
        <f t="shared" si="1"/>
        <v>3.03437426187217e-5</v>
      </c>
      <c r="L33" s="14"/>
    </row>
    <row r="34" ht="14" spans="1:12">
      <c r="A34" s="33"/>
      <c r="B34" s="33"/>
      <c r="C34" s="33" t="s">
        <v>29</v>
      </c>
      <c r="D34" s="40">
        <v>0.7</v>
      </c>
      <c r="E34" s="33">
        <v>0</v>
      </c>
      <c r="F34" s="44">
        <v>3.65651661</v>
      </c>
      <c r="G34" s="35">
        <v>3.65651679</v>
      </c>
      <c r="H34" s="36">
        <f t="shared" si="0"/>
        <v>4.92271795790458e-8</v>
      </c>
      <c r="I34" s="52">
        <v>4.51928796</v>
      </c>
      <c r="J34" s="35">
        <v>4.51928855</v>
      </c>
      <c r="K34" s="36">
        <f t="shared" si="1"/>
        <v>1.30551539355108e-7</v>
      </c>
      <c r="L34" s="14"/>
    </row>
    <row r="35" ht="14" spans="1:12">
      <c r="A35" s="33"/>
      <c r="B35" s="33"/>
      <c r="C35" s="33"/>
      <c r="D35" s="33">
        <v>1</v>
      </c>
      <c r="E35" s="33">
        <v>0</v>
      </c>
      <c r="F35" s="33">
        <v>5.22580308</v>
      </c>
      <c r="G35" s="35">
        <v>5.22580334</v>
      </c>
      <c r="H35" s="36">
        <f t="shared" si="0"/>
        <v>4.97531183873151e-8</v>
      </c>
      <c r="I35" s="53">
        <v>6.45586631</v>
      </c>
      <c r="J35" s="35">
        <v>6.45586714</v>
      </c>
      <c r="K35" s="36">
        <f t="shared" si="1"/>
        <v>1.28565239665967e-7</v>
      </c>
      <c r="L35" s="14"/>
    </row>
    <row r="36" ht="14" spans="1:12">
      <c r="A36" s="33" t="s">
        <v>43</v>
      </c>
      <c r="B36" s="33" t="s">
        <v>35</v>
      </c>
      <c r="C36" s="33" t="s">
        <v>24</v>
      </c>
      <c r="D36" s="33">
        <v>0.7</v>
      </c>
      <c r="E36" s="33"/>
      <c r="F36" s="54">
        <v>-4.20354e-5</v>
      </c>
      <c r="G36" s="55">
        <v>-4.20354e-5</v>
      </c>
      <c r="H36" s="36">
        <f t="shared" si="0"/>
        <v>0</v>
      </c>
      <c r="I36" s="54">
        <v>-3.85091e-5</v>
      </c>
      <c r="J36" s="55">
        <v>-3.85091e-5</v>
      </c>
      <c r="K36" s="36">
        <f t="shared" si="1"/>
        <v>0</v>
      </c>
      <c r="L36" s="14"/>
    </row>
    <row r="37" ht="14" spans="1:12">
      <c r="A37" s="33"/>
      <c r="B37" s="33"/>
      <c r="C37" s="33"/>
      <c r="D37" s="33">
        <v>1</v>
      </c>
      <c r="E37" s="33"/>
      <c r="F37" s="54">
        <v>-8.58588e-5</v>
      </c>
      <c r="G37" s="55">
        <v>-8.58587e-5</v>
      </c>
      <c r="H37" s="36">
        <f t="shared" si="0"/>
        <v>-1.16470297737032e-6</v>
      </c>
      <c r="I37" s="54">
        <v>-7.85864e-5</v>
      </c>
      <c r="J37" s="55">
        <v>-7.85864e-5</v>
      </c>
      <c r="K37" s="36">
        <f t="shared" si="1"/>
        <v>0</v>
      </c>
      <c r="L37" s="14"/>
    </row>
    <row r="38" ht="14" spans="1:12">
      <c r="A38" s="33" t="s">
        <v>44</v>
      </c>
      <c r="B38" s="47" t="s">
        <v>35</v>
      </c>
      <c r="C38" s="33" t="s">
        <v>24</v>
      </c>
      <c r="D38" s="33">
        <v>0.7</v>
      </c>
      <c r="E38" s="33"/>
      <c r="F38" s="40">
        <f>F32-F21</f>
        <v>-0.000153699999999812</v>
      </c>
      <c r="G38" s="35">
        <v>-0.0001537</v>
      </c>
      <c r="H38" s="36">
        <f t="shared" si="0"/>
        <v>-1.22316627657265e-12</v>
      </c>
      <c r="I38" s="40">
        <v>-0.00017404</v>
      </c>
      <c r="J38" s="35">
        <v>-0.00017404</v>
      </c>
      <c r="K38" s="36">
        <f t="shared" si="1"/>
        <v>0</v>
      </c>
      <c r="L38" s="14"/>
    </row>
    <row r="39" ht="14" spans="1:12">
      <c r="A39" s="33"/>
      <c r="B39" s="33"/>
      <c r="C39" s="33"/>
      <c r="D39" s="33">
        <v>1</v>
      </c>
      <c r="E39" s="33"/>
      <c r="F39" s="33">
        <f>F33-F20</f>
        <v>-0.000448699999999747</v>
      </c>
      <c r="G39" s="35">
        <v>-0.0004487</v>
      </c>
      <c r="H39" s="36">
        <f t="shared" si="0"/>
        <v>-5.63847953977346e-13</v>
      </c>
      <c r="I39" s="40">
        <f>I33-I20</f>
        <v>-0.000507370000000229</v>
      </c>
      <c r="J39" s="35">
        <v>-0.00050737</v>
      </c>
      <c r="K39" s="36">
        <f t="shared" si="1"/>
        <v>-4.51314620156563e-13</v>
      </c>
      <c r="L39" s="14"/>
    </row>
    <row r="40" ht="14" spans="1:12">
      <c r="A40" s="33" t="s">
        <v>45</v>
      </c>
      <c r="B40" s="47" t="s">
        <v>35</v>
      </c>
      <c r="C40" s="33" t="s">
        <v>38</v>
      </c>
      <c r="D40" s="33">
        <v>0.7</v>
      </c>
      <c r="E40" s="33">
        <v>0</v>
      </c>
      <c r="F40" s="33">
        <f>F30-F34</f>
        <v>-0.000443390000000043</v>
      </c>
      <c r="G40" s="35">
        <v>-0.00044339</v>
      </c>
      <c r="H40" s="36">
        <f t="shared" si="0"/>
        <v>-9.69544106521259e-14</v>
      </c>
      <c r="I40" s="40">
        <f>I30-I34</f>
        <v>-0.000258080000000049</v>
      </c>
      <c r="J40" s="35">
        <v>-0.00025808</v>
      </c>
      <c r="K40" s="36">
        <f t="shared" si="1"/>
        <v>-1.89886617313761e-13</v>
      </c>
      <c r="L40" s="14"/>
    </row>
    <row r="41" ht="14" spans="1:12">
      <c r="A41" s="33"/>
      <c r="B41" s="33"/>
      <c r="C41" s="33"/>
      <c r="D41" s="33">
        <v>1</v>
      </c>
      <c r="E41" s="33">
        <v>0</v>
      </c>
      <c r="F41" s="33">
        <f>F31-F35</f>
        <v>-0.000631820000000616</v>
      </c>
      <c r="G41" s="35">
        <v>-0.00063181</v>
      </c>
      <c r="H41" s="36">
        <f t="shared" si="0"/>
        <v>-1.58272935582516e-5</v>
      </c>
      <c r="I41" s="40">
        <f>I31-I35</f>
        <v>-0.000366310000000425</v>
      </c>
      <c r="J41" s="35">
        <v>-0.0003663</v>
      </c>
      <c r="K41" s="36">
        <f t="shared" si="1"/>
        <v>-2.72992831890761e-5</v>
      </c>
      <c r="L41" s="14"/>
    </row>
    <row r="42" ht="13.2" customHeight="1" spans="1:12">
      <c r="A42" s="13" t="s">
        <v>46</v>
      </c>
      <c r="B42" s="33" t="s">
        <v>47</v>
      </c>
      <c r="C42" s="33" t="s">
        <v>24</v>
      </c>
      <c r="D42" s="33">
        <v>0.7</v>
      </c>
      <c r="E42" s="33">
        <v>0.7</v>
      </c>
      <c r="F42" s="56">
        <v>0.001827678</v>
      </c>
      <c r="G42" s="35">
        <v>0.00182765</v>
      </c>
      <c r="H42" s="36">
        <f t="shared" si="0"/>
        <v>1.53199852489281e-5</v>
      </c>
      <c r="I42" s="57">
        <v>0.015035557</v>
      </c>
      <c r="J42" s="35">
        <v>0.01503559</v>
      </c>
      <c r="K42" s="36">
        <f t="shared" si="1"/>
        <v>2.19479730614419e-6</v>
      </c>
      <c r="L42" s="14"/>
    </row>
    <row r="43" ht="14" spans="1:12">
      <c r="A43" s="16"/>
      <c r="B43" s="33" t="s">
        <v>48</v>
      </c>
      <c r="C43" s="33"/>
      <c r="D43" s="33">
        <v>0.7</v>
      </c>
      <c r="E43" s="33">
        <v>1</v>
      </c>
      <c r="F43" s="56">
        <v>0.002172625</v>
      </c>
      <c r="G43" s="35">
        <v>0.00217257</v>
      </c>
      <c r="H43" s="36">
        <f t="shared" si="0"/>
        <v>2.53149991370379e-5</v>
      </c>
      <c r="I43" s="57">
        <v>0.032720884</v>
      </c>
      <c r="J43" s="35">
        <v>0.03272096</v>
      </c>
      <c r="K43" s="36">
        <f t="shared" si="1"/>
        <v>2.32267563436337e-6</v>
      </c>
      <c r="L43" s="14"/>
    </row>
    <row r="44" ht="14" spans="1:12">
      <c r="A44" s="16"/>
      <c r="B44" s="33"/>
      <c r="C44" s="33"/>
      <c r="D44" s="33">
        <v>1</v>
      </c>
      <c r="E44" s="33">
        <v>0.7</v>
      </c>
      <c r="F44" s="56">
        <v>0.002668431</v>
      </c>
      <c r="G44" s="35">
        <v>0.00266839</v>
      </c>
      <c r="H44" s="36">
        <f t="shared" si="0"/>
        <v>1.53648342415837e-5</v>
      </c>
      <c r="I44" s="57">
        <v>0.02143336</v>
      </c>
      <c r="J44" s="35">
        <v>0.02143341</v>
      </c>
      <c r="K44" s="36">
        <f t="shared" si="1"/>
        <v>2.33281202767265e-6</v>
      </c>
      <c r="L44" s="14"/>
    </row>
    <row r="45" ht="14" spans="1:12">
      <c r="A45" s="22"/>
      <c r="B45" s="33"/>
      <c r="C45" s="33"/>
      <c r="D45" s="33">
        <v>1</v>
      </c>
      <c r="E45" s="33">
        <v>1</v>
      </c>
      <c r="F45" s="57">
        <v>0.003214342</v>
      </c>
      <c r="G45" s="35">
        <v>0.00321426</v>
      </c>
      <c r="H45" s="36">
        <f t="shared" si="0"/>
        <v>2.55106643909619e-5</v>
      </c>
      <c r="I45" s="57">
        <v>0.046658362</v>
      </c>
      <c r="J45" s="35">
        <v>0.04665847</v>
      </c>
      <c r="K45" s="36">
        <f t="shared" si="1"/>
        <v>2.31469763123413e-6</v>
      </c>
      <c r="L45" s="14"/>
    </row>
    <row r="46" s="2" customFormat="1" spans="1:12">
      <c r="G46" s="58"/>
      <c r="J46" s="58"/>
    </row>
    <row r="47" s="2" customFormat="1" spans="1:12">
      <c r="G47" s="58"/>
      <c r="J47" s="58"/>
    </row>
    <row r="48" s="2" customFormat="1" spans="1:12">
      <c r="B48" s="2">
        <v>0.03196618421</v>
      </c>
      <c r="G48" s="58"/>
      <c r="J48" s="58"/>
    </row>
  </sheetData>
  <mergeCells count="17">
    <mergeCell ref="C1:K1"/>
    <mergeCell ref="C2:K2"/>
    <mergeCell ref="C3:E3"/>
    <mergeCell ref="C4:E4"/>
    <mergeCell ref="C5:E5"/>
    <mergeCell ref="C6:E6"/>
    <mergeCell ref="F6:H6"/>
    <mergeCell ref="I6:K6"/>
    <mergeCell ref="A6:A7"/>
    <mergeCell ref="A9:A11"/>
    <mergeCell ref="A12:A17"/>
    <mergeCell ref="A42:A45"/>
    <mergeCell ref="B3:B5"/>
    <mergeCell ref="C12:C13"/>
    <mergeCell ref="C14:C15"/>
    <mergeCell ref="C16:C17"/>
    <mergeCell ref="L8:L4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lvweige</dc:creator>
  <cp:lastModifiedBy>闭雪梅</cp:lastModifiedBy>
  <dcterms:created xsi:type="dcterms:W3CDTF">2016-07-07T00:29:00Z</dcterms:created>
  <cp:lastPrinted>2016-07-07T00:38:00Z</cp:lastPrinted>
  <dcterms:modified xsi:type="dcterms:W3CDTF">2026-07-08T08:26:37Z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609D41D59D7B488FB8E6D2F75F7A4D31_13</vt:lpwstr>
  </property>
  <property fmtid="{D5CDD505-2E9C-101B-9397-08002B2CF9AE}" pid="3" name="KSOProductBuildVer">
    <vt:lpwstr>2052-12.1.0.23542</vt:lpwstr>
  </property>
</Properties>
</file>